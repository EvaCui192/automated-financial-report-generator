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xyk/Desktop/automated-financial-report-generator/data/raw/"/>
    </mc:Choice>
  </mc:AlternateContent>
  <xr:revisionPtr revIDLastSave="0" documentId="13_ncr:1_{19B6DB07-E9F5-B246-A826-90D883ADB2C4}" xr6:coauthVersionLast="47" xr6:coauthVersionMax="47" xr10:uidLastSave="{00000000-0000-0000-0000-000000000000}"/>
  <bookViews>
    <workbookView xWindow="0" yWindow="500" windowWidth="28800" windowHeight="16520" xr2:uid="{C1BDF370-3D74-F542-9169-527D68AC6609}"/>
  </bookViews>
  <sheets>
    <sheet name="财务数据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" i="1" l="1"/>
  <c r="Q6" i="1"/>
  <c r="D6" i="1"/>
  <c r="Y5" i="1"/>
  <c r="Q5" i="1"/>
  <c r="D5" i="1"/>
  <c r="Y4" i="1"/>
  <c r="Q4" i="1"/>
  <c r="D4" i="1"/>
  <c r="Y3" i="1"/>
  <c r="Q3" i="1"/>
  <c r="D3" i="1"/>
  <c r="Y2" i="1"/>
  <c r="Q2" i="1"/>
  <c r="D2" i="1"/>
</calcChain>
</file>

<file path=xl/sharedStrings.xml><?xml version="1.0" encoding="utf-8"?>
<sst xmlns="http://schemas.openxmlformats.org/spreadsheetml/2006/main" count="25" uniqueCount="25">
  <si>
    <t>营业收入</t>
    <phoneticPr fontId="1" type="noConversion"/>
  </si>
  <si>
    <t>营业成本</t>
    <phoneticPr fontId="1" type="noConversion"/>
  </si>
  <si>
    <t>毛利润</t>
    <phoneticPr fontId="1" type="noConversion"/>
  </si>
  <si>
    <t>营业利润</t>
    <phoneticPr fontId="1" type="noConversion"/>
  </si>
  <si>
    <t>净利润</t>
    <phoneticPr fontId="1" type="noConversion"/>
  </si>
  <si>
    <t>归母净利润</t>
    <phoneticPr fontId="1" type="noConversion"/>
  </si>
  <si>
    <t>货币资金</t>
    <phoneticPr fontId="1" type="noConversion"/>
  </si>
  <si>
    <t>流动资产</t>
    <phoneticPr fontId="1" type="noConversion"/>
  </si>
  <si>
    <t>总资产</t>
    <phoneticPr fontId="1" type="noConversion"/>
  </si>
  <si>
    <t>流动负债</t>
    <phoneticPr fontId="1" type="noConversion"/>
  </si>
  <si>
    <t>总负债</t>
    <phoneticPr fontId="1" type="noConversion"/>
  </si>
  <si>
    <t>短期借款</t>
    <phoneticPr fontId="1" type="noConversion"/>
  </si>
  <si>
    <t>一年内到期的非流动负债</t>
    <phoneticPr fontId="1" type="noConversion"/>
  </si>
  <si>
    <t>长期借款</t>
    <phoneticPr fontId="1" type="noConversion"/>
  </si>
  <si>
    <t>应付债券</t>
    <phoneticPr fontId="1" type="noConversion"/>
  </si>
  <si>
    <t>总有息债务</t>
    <phoneticPr fontId="1" type="noConversion"/>
  </si>
  <si>
    <t>股东权益合计</t>
    <phoneticPr fontId="1" type="noConversion"/>
  </si>
  <si>
    <t>经营活动现金流量净额</t>
    <phoneticPr fontId="1" type="noConversion"/>
  </si>
  <si>
    <t>投资活动现金流量净额</t>
    <phoneticPr fontId="1" type="noConversion"/>
  </si>
  <si>
    <t>筹资活动现金流量净额</t>
    <phoneticPr fontId="1" type="noConversion"/>
  </si>
  <si>
    <t>利息费用</t>
    <phoneticPr fontId="1" type="noConversion"/>
  </si>
  <si>
    <t>未分配利润</t>
    <phoneticPr fontId="1" type="noConversion"/>
  </si>
  <si>
    <t>盈余公积</t>
    <phoneticPr fontId="1" type="noConversion"/>
  </si>
  <si>
    <t>留存收益</t>
    <phoneticPr fontId="1" type="noConversion"/>
  </si>
  <si>
    <t>年份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</si>
</sst>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,##0.00_ "/>
  </numFmts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4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B8B9B-8B02-AE41-BD20-94625403EA29}">
  <dimension ref="A1:Y7"/>
  <sheetViews>
    <sheetView tabSelected="1" zoomScale="80" zoomScaleNormal="80" workbookViewId="0">
      <selection activeCell="B1" sqref="B1:Y1"/>
    </sheetView>
  </sheetViews>
  <sheetFormatPr baseColWidth="10" defaultRowHeight="16"/>
  <sheetData>
    <row r="1" spans="1:25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>
        <v>2021</v>
      </c>
      <c r="B2" s="2">
        <v>4527.9777397414</v>
      </c>
      <c r="C2" s="2">
        <v>3539.7713797214001</v>
      </c>
      <c r="D2" s="3">
        <f>B2-C2</f>
        <v>988.20636001999992</v>
      </c>
      <c r="E2" s="2">
        <v>525.30997237250006</v>
      </c>
      <c r="F2" s="2">
        <v>380.69527018019994</v>
      </c>
      <c r="G2" s="2">
        <v>225.24033383220001</v>
      </c>
      <c r="H2" s="2">
        <v>1493.5244428876001</v>
      </c>
      <c r="I2" s="2">
        <v>16002.683072918999</v>
      </c>
      <c r="J2" s="2">
        <v>19386.3812869908</v>
      </c>
      <c r="K2" s="2">
        <v>13114.4646733873</v>
      </c>
      <c r="L2" s="2">
        <v>15458.6535217399</v>
      </c>
      <c r="M2" s="2">
        <v>144.12503249229999</v>
      </c>
      <c r="N2" s="2">
        <v>479.31931675459998</v>
      </c>
      <c r="O2" s="2">
        <v>1543.2227896364002</v>
      </c>
      <c r="P2" s="2">
        <v>530.20571732910003</v>
      </c>
      <c r="Q2" s="3">
        <f>SUM(M2:P2)</f>
        <v>2696.8728562124002</v>
      </c>
      <c r="R2" s="2">
        <v>3927.7277652509001</v>
      </c>
      <c r="S2" s="2">
        <v>41.131609481999995</v>
      </c>
      <c r="T2" s="2">
        <v>-262.80786182719999</v>
      </c>
      <c r="U2" s="2">
        <v>-231.03767491080001</v>
      </c>
      <c r="V2" s="2">
        <v>78.61346670479999</v>
      </c>
      <c r="W2" s="2">
        <v>926.98444100850008</v>
      </c>
      <c r="X2" s="2">
        <v>1111.8652056583001</v>
      </c>
      <c r="Y2" s="2">
        <f>SUM(W2:X2)</f>
        <v>2038.8496466668003</v>
      </c>
    </row>
    <row r="3" spans="1:25">
      <c r="A3">
        <v>2022</v>
      </c>
      <c r="B3" s="2">
        <v>5038.3836735876002</v>
      </c>
      <c r="C3" s="2">
        <v>4053.1928697964004</v>
      </c>
      <c r="D3" s="3">
        <f>B3-C3</f>
        <v>985.19080379119987</v>
      </c>
      <c r="E3" s="2">
        <v>520.2904636966</v>
      </c>
      <c r="F3" s="2">
        <v>376.12558798699996</v>
      </c>
      <c r="G3" s="2">
        <v>226.88551801520001</v>
      </c>
      <c r="H3" s="2">
        <v>1372.0763492527001</v>
      </c>
      <c r="I3" s="2">
        <v>14153.563799585199</v>
      </c>
      <c r="J3" s="2">
        <v>17578.049358960401</v>
      </c>
      <c r="K3" s="2">
        <v>10778.0157201784</v>
      </c>
      <c r="L3" s="2">
        <v>13521.681059324899</v>
      </c>
      <c r="M3" s="2">
        <v>41.333062248899999</v>
      </c>
      <c r="N3" s="2">
        <v>639.22073345069998</v>
      </c>
      <c r="O3" s="2">
        <v>1807.7328062196</v>
      </c>
      <c r="P3" s="2">
        <v>688.1557015564</v>
      </c>
      <c r="Q3" s="3">
        <f>SUM(M3:P3)</f>
        <v>3176.4423034755996</v>
      </c>
      <c r="R3" s="2">
        <v>4056.3682996355001</v>
      </c>
      <c r="S3" s="2">
        <v>27.504494784400002</v>
      </c>
      <c r="T3" s="2">
        <v>-130.30271196870001</v>
      </c>
      <c r="U3" s="2">
        <v>34.389188602899999</v>
      </c>
      <c r="V3" s="2">
        <v>58.865517772499999</v>
      </c>
      <c r="W3" s="2">
        <v>980.13892763929994</v>
      </c>
      <c r="X3" s="2">
        <v>1177.4367708149</v>
      </c>
      <c r="Y3" s="2">
        <f>SUM(W3:X3)</f>
        <v>2157.5756984541999</v>
      </c>
    </row>
    <row r="4" spans="1:25">
      <c r="A4">
        <v>2023</v>
      </c>
      <c r="B4" s="2">
        <v>4657.3907670222998</v>
      </c>
      <c r="C4" s="2">
        <v>3947.8385951778996</v>
      </c>
      <c r="D4" s="3">
        <f>B4-C4</f>
        <v>709.55217184440016</v>
      </c>
      <c r="E4" s="2">
        <v>292.5170206441</v>
      </c>
      <c r="F4" s="2">
        <v>204.55558414740003</v>
      </c>
      <c r="G4" s="2">
        <v>121.6268436886</v>
      </c>
      <c r="H4" s="2">
        <v>998.13755447810001</v>
      </c>
      <c r="I4" s="2">
        <v>11502.600623606799</v>
      </c>
      <c r="J4" s="2">
        <v>15048.501721178302</v>
      </c>
      <c r="K4" s="2">
        <v>8217.852584921</v>
      </c>
      <c r="L4" s="2">
        <v>11019.166411705701</v>
      </c>
      <c r="M4" s="2">
        <v>10.635618831</v>
      </c>
      <c r="N4" s="2">
        <v>649.26827016660002</v>
      </c>
      <c r="O4" s="2">
        <v>1977.6414268389001</v>
      </c>
      <c r="P4" s="2">
        <v>598.7101594897</v>
      </c>
      <c r="Q4" s="3">
        <f>SUM(M4:P4)</f>
        <v>3236.2554753261998</v>
      </c>
      <c r="R4" s="2">
        <v>4029.3353094725999</v>
      </c>
      <c r="S4" s="2">
        <v>39.123239201099999</v>
      </c>
      <c r="T4" s="2">
        <v>-46.156421063100005</v>
      </c>
      <c r="U4" s="2">
        <v>-368.13164252000001</v>
      </c>
      <c r="V4" s="2">
        <v>57.374734820800001</v>
      </c>
      <c r="W4" s="2">
        <v>936.16301891080002</v>
      </c>
      <c r="X4" s="2">
        <v>1262.2753685419</v>
      </c>
      <c r="Y4" s="2">
        <f>SUM(W4:X4)</f>
        <v>2198.4383874527002</v>
      </c>
    </row>
    <row r="5" spans="1:25">
      <c r="A5">
        <v>2024</v>
      </c>
      <c r="B5" s="2">
        <v>3431.7644071296004</v>
      </c>
      <c r="C5" s="2">
        <v>3082.6487143949998</v>
      </c>
      <c r="D5" s="3">
        <f>B5-C5</f>
        <v>349.11569273460054</v>
      </c>
      <c r="E5" s="2">
        <v>-456.43796280610002</v>
      </c>
      <c r="F5" s="2">
        <v>-487.03934402330003</v>
      </c>
      <c r="G5" s="2">
        <v>-494.78429211959997</v>
      </c>
      <c r="H5" s="2">
        <v>881.62865022029996</v>
      </c>
      <c r="I5" s="2">
        <v>9175.1207685502995</v>
      </c>
      <c r="J5" s="2">
        <v>12862.598597658201</v>
      </c>
      <c r="K5" s="2">
        <v>7190.6181765071997</v>
      </c>
      <c r="L5" s="2">
        <v>9474.0519728208001</v>
      </c>
      <c r="M5" s="2">
        <v>144.30118508709998</v>
      </c>
      <c r="N5" s="2">
        <v>1112.4084503866</v>
      </c>
      <c r="O5" s="2">
        <v>849.81117367720003</v>
      </c>
      <c r="P5" s="2">
        <v>241.1313231988</v>
      </c>
      <c r="Q5" s="3">
        <f>SUM(M5:P5)</f>
        <v>2347.6521323497004</v>
      </c>
      <c r="R5" s="2">
        <v>3388.5466248374</v>
      </c>
      <c r="S5" s="3">
        <v>-128.4088797341</v>
      </c>
      <c r="T5" s="3">
        <v>23.8326475171</v>
      </c>
      <c r="U5" s="3">
        <v>-74.999486913300004</v>
      </c>
      <c r="V5" s="2">
        <v>74.466933795299994</v>
      </c>
      <c r="W5" s="2">
        <v>441.37872679120005</v>
      </c>
      <c r="X5" s="2">
        <v>1262.2753685419</v>
      </c>
      <c r="Y5" s="2">
        <f>SUM(W5:X5)</f>
        <v>1703.6540953331</v>
      </c>
    </row>
    <row r="6" spans="1:25">
      <c r="A6">
        <v>2025</v>
      </c>
      <c r="B6" s="2">
        <v>2334.3276896042998</v>
      </c>
      <c r="C6" s="2">
        <v>2113.4729177088002</v>
      </c>
      <c r="D6" s="3">
        <f>B6-C6</f>
        <v>220.85477189549965</v>
      </c>
      <c r="E6" s="2">
        <v>-709.9904440537</v>
      </c>
      <c r="F6" s="2">
        <v>-918.10091101490002</v>
      </c>
      <c r="G6" s="2">
        <v>-885.56470495639996</v>
      </c>
      <c r="H6" s="2">
        <v>672.40949734900005</v>
      </c>
      <c r="I6" s="2">
        <v>6973.7385403279004</v>
      </c>
      <c r="J6" s="2">
        <v>10206.228315328601</v>
      </c>
      <c r="K6" s="2">
        <v>5651.9794746275002</v>
      </c>
      <c r="L6" s="2">
        <v>7847.6277349617003</v>
      </c>
      <c r="M6" s="2">
        <v>244.9158486238</v>
      </c>
      <c r="N6" s="2">
        <v>859.97058539390002</v>
      </c>
      <c r="O6" s="2">
        <v>902.40971734749996</v>
      </c>
      <c r="P6" s="2">
        <v>112.9534868575</v>
      </c>
      <c r="Q6" s="3">
        <f>SUM(M6:P6)</f>
        <v>2120.2496382227</v>
      </c>
      <c r="R6" s="2">
        <v>2358.6005803669</v>
      </c>
      <c r="S6" s="2">
        <v>58.583619515800002</v>
      </c>
      <c r="T6" s="2">
        <v>12.16690528</v>
      </c>
      <c r="U6" s="2">
        <v>-75.002092992299993</v>
      </c>
      <c r="V6" s="2">
        <v>85.015087266999998</v>
      </c>
      <c r="W6" s="2">
        <v>-444.18597816519997</v>
      </c>
      <c r="X6" s="2">
        <v>1262.2753685419</v>
      </c>
      <c r="Y6" s="2">
        <f>SUM(W6:X6)</f>
        <v>818.08939037670007</v>
      </c>
    </row>
    <row r="7" spans="1: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财务数据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a96662</dc:creator>
  <cp:lastModifiedBy>a96662</cp:lastModifiedBy>
  <dcterms:created xsi:type="dcterms:W3CDTF">2026-05-10T18:24:02Z</dcterms:created>
  <dcterms:modified xsi:type="dcterms:W3CDTF">2026-05-10T18:39:26Z</dcterms:modified>
</cp:coreProperties>
</file>